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4355" windowHeight="1105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24" i="1" l="1"/>
  <c r="F24" i="1"/>
  <c r="G23" i="1"/>
  <c r="F23" i="1"/>
  <c r="G38" i="1"/>
  <c r="F38" i="1"/>
  <c r="G37" i="1"/>
  <c r="F37" i="1"/>
  <c r="G36" i="1"/>
  <c r="F36" i="1"/>
  <c r="G35" i="1"/>
  <c r="F35" i="1"/>
</calcChain>
</file>

<file path=xl/sharedStrings.xml><?xml version="1.0" encoding="utf-8"?>
<sst xmlns="http://schemas.openxmlformats.org/spreadsheetml/2006/main" count="63" uniqueCount="52">
  <si>
    <t>; DRILL file {KiCad 8.0.7} date 2025-01-08T05:02:51-0500</t>
  </si>
  <si>
    <t>; FORMAT={-:-/ absolute / inch / decimal}</t>
  </si>
  <si>
    <t>; #@! TF.CreationDate,2025-01-08T05:02:51-05:00</t>
  </si>
  <si>
    <t>; #@! TF.GenerationSoftware,Kicad,Pcbnew,8.0.7</t>
  </si>
  <si>
    <t>; #@! TF.FileFunction,Plated,1,2,PTH</t>
  </si>
  <si>
    <t>FMAT,2</t>
  </si>
  <si>
    <t>INCH</t>
  </si>
  <si>
    <t>; #@! TA.AperFunction,Plated,PTH,ComponentDrill</t>
  </si>
  <si>
    <t>T1C0.0591</t>
  </si>
  <si>
    <t>T2C0.0669</t>
  </si>
  <si>
    <t>T3C0.1693</t>
  </si>
  <si>
    <t>%</t>
  </si>
  <si>
    <t>G90</t>
  </si>
  <si>
    <t>G05</t>
  </si>
  <si>
    <t>T1</t>
  </si>
  <si>
    <t>X2.62Y-3.0</t>
  </si>
  <si>
    <t>X4.28Y-3.0</t>
  </si>
  <si>
    <t>T2</t>
  </si>
  <si>
    <t>X2.52Y-2.9</t>
  </si>
  <si>
    <t>X2.52Y-3.1</t>
  </si>
  <si>
    <t>X2.72Y-2.9</t>
  </si>
  <si>
    <t>X2.72Y-3.1</t>
  </si>
  <si>
    <t>X4.18Y-2.9</t>
  </si>
  <si>
    <t>X4.18Y-3.1</t>
  </si>
  <si>
    <t>X4.38Y-2.9</t>
  </si>
  <si>
    <t>X4.38Y-3.1</t>
  </si>
  <si>
    <t>T3</t>
  </si>
  <si>
    <t>X2.65Y-2.55</t>
  </si>
  <si>
    <t>X2.65Y-3.45</t>
  </si>
  <si>
    <t>X4.25Y-2.55</t>
  </si>
  <si>
    <t>X4.25Y-3.45</t>
  </si>
  <si>
    <t>M30</t>
  </si>
  <si>
    <t>0.0591 "/1500mm</t>
  </si>
  <si>
    <t>0.0669"/1700mm</t>
  </si>
  <si>
    <t>0.15693"/4300mm</t>
  </si>
  <si>
    <t>X</t>
  </si>
  <si>
    <t>Y</t>
  </si>
  <si>
    <t>origin</t>
  </si>
  <si>
    <t>Actual</t>
  </si>
  <si>
    <t>re-origin</t>
  </si>
  <si>
    <t>Left Side</t>
  </si>
  <si>
    <t>Right side</t>
  </si>
  <si>
    <t>Bottom</t>
  </si>
  <si>
    <t>Top</t>
  </si>
  <si>
    <t>[0.0,0.0]</t>
  </si>
  <si>
    <t>End Points</t>
  </si>
  <si>
    <t>[x,y]</t>
  </si>
  <si>
    <t>[2.0,0.0]</t>
  </si>
  <si>
    <t>[0.0,-1.3]</t>
  </si>
  <si>
    <t>[2.0,-1.3]</t>
  </si>
  <si>
    <t>Note:  flip Y axsis for OpenSCAD orientation ==&gt; Y = Y times -1</t>
  </si>
  <si>
    <t>K9HZ_KI3P_T41_Attenutor-PTH.drl reorint for new 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</si>
</sst>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8"/>
  <sheetViews>
    <sheetView tabSelected="1" workbookViewId="0">
      <selection activeCell="B2" sqref="B2"/>
    </sheetView>
  </sheetViews>
  <sheetFormatPr defaultRowHeight="12.75" x14ac:dyDescent="0.2"/>
  <cols>
    <col min="2" max="2" width="11.140625" customWidth="1"/>
    <col min="5" max="5" width="3.140625" customWidth="1"/>
  </cols>
  <sheetData>
    <row r="2" spans="2:2" x14ac:dyDescent="0.2">
      <c r="B2" t="s">
        <v>51</v>
      </c>
    </row>
    <row r="4" spans="2:2" x14ac:dyDescent="0.2">
      <c r="B4" t="s">
        <v>0</v>
      </c>
    </row>
    <row r="5" spans="2:2" x14ac:dyDescent="0.2">
      <c r="B5" t="s">
        <v>1</v>
      </c>
    </row>
    <row r="6" spans="2:2" x14ac:dyDescent="0.2">
      <c r="B6" t="s">
        <v>2</v>
      </c>
    </row>
    <row r="7" spans="2:2" x14ac:dyDescent="0.2">
      <c r="B7" t="s">
        <v>3</v>
      </c>
    </row>
    <row r="8" spans="2:2" x14ac:dyDescent="0.2">
      <c r="B8" t="s">
        <v>4</v>
      </c>
    </row>
    <row r="9" spans="2:2" x14ac:dyDescent="0.2">
      <c r="B9" t="s">
        <v>5</v>
      </c>
    </row>
    <row r="10" spans="2:2" x14ac:dyDescent="0.2">
      <c r="B10" t="s">
        <v>6</v>
      </c>
    </row>
    <row r="11" spans="2:2" x14ac:dyDescent="0.2">
      <c r="B11" t="s">
        <v>7</v>
      </c>
    </row>
    <row r="12" spans="2:2" x14ac:dyDescent="0.2">
      <c r="B12" t="s">
        <v>8</v>
      </c>
    </row>
    <row r="13" spans="2:2" x14ac:dyDescent="0.2">
      <c r="B13" t="s">
        <v>7</v>
      </c>
    </row>
    <row r="14" spans="2:2" x14ac:dyDescent="0.2">
      <c r="B14" t="s">
        <v>9</v>
      </c>
    </row>
    <row r="15" spans="2:2" x14ac:dyDescent="0.2">
      <c r="B15" t="s">
        <v>7</v>
      </c>
    </row>
    <row r="16" spans="2:2" x14ac:dyDescent="0.2">
      <c r="B16" t="s">
        <v>10</v>
      </c>
    </row>
    <row r="17" spans="2:7" x14ac:dyDescent="0.2">
      <c r="B17" t="s">
        <v>11</v>
      </c>
    </row>
    <row r="18" spans="2:7" x14ac:dyDescent="0.2">
      <c r="B18" t="s">
        <v>12</v>
      </c>
    </row>
    <row r="19" spans="2:7" x14ac:dyDescent="0.2">
      <c r="B19" t="s">
        <v>13</v>
      </c>
      <c r="C19" s="3"/>
      <c r="F19" s="6" t="s">
        <v>37</v>
      </c>
      <c r="G19" s="7"/>
    </row>
    <row r="20" spans="2:7" x14ac:dyDescent="0.2">
      <c r="E20" s="1"/>
      <c r="F20" s="1" t="s">
        <v>35</v>
      </c>
      <c r="G20" s="1" t="s">
        <v>36</v>
      </c>
    </row>
    <row r="21" spans="2:7" x14ac:dyDescent="0.2">
      <c r="C21" s="1" t="s">
        <v>35</v>
      </c>
      <c r="D21" s="1" t="s">
        <v>36</v>
      </c>
      <c r="E21" s="1"/>
      <c r="F21" s="5">
        <v>2.4500000000000002</v>
      </c>
      <c r="G21" s="5">
        <v>-2.35</v>
      </c>
    </row>
    <row r="22" spans="2:7" x14ac:dyDescent="0.2">
      <c r="B22" t="s">
        <v>14</v>
      </c>
      <c r="C22" t="s">
        <v>32</v>
      </c>
      <c r="F22" s="5" t="s">
        <v>39</v>
      </c>
      <c r="G22" s="4" t="s">
        <v>38</v>
      </c>
    </row>
    <row r="23" spans="2:7" x14ac:dyDescent="0.2">
      <c r="B23" t="s">
        <v>15</v>
      </c>
      <c r="C23" s="1">
        <v>2.62</v>
      </c>
      <c r="D23" s="8">
        <v>-3</v>
      </c>
      <c r="F23" s="5">
        <f>+C23-F$21</f>
        <v>0.16999999999999993</v>
      </c>
      <c r="G23" s="5">
        <f>+D23-G$21</f>
        <v>-0.64999999999999991</v>
      </c>
    </row>
    <row r="24" spans="2:7" x14ac:dyDescent="0.2">
      <c r="B24" t="s">
        <v>16</v>
      </c>
      <c r="C24" s="1">
        <v>4.28</v>
      </c>
      <c r="D24" s="8">
        <v>-3</v>
      </c>
      <c r="F24" s="5">
        <f>+C24-F$21</f>
        <v>1.83</v>
      </c>
      <c r="G24" s="5">
        <f>+D24-G$21</f>
        <v>-0.64999999999999991</v>
      </c>
    </row>
    <row r="25" spans="2:7" x14ac:dyDescent="0.2">
      <c r="B25" t="s">
        <v>17</v>
      </c>
      <c r="C25" s="2" t="s">
        <v>33</v>
      </c>
      <c r="D25" s="9"/>
      <c r="F25" s="4"/>
      <c r="G25" s="4"/>
    </row>
    <row r="26" spans="2:7" x14ac:dyDescent="0.2">
      <c r="B26" t="s">
        <v>18</v>
      </c>
      <c r="C26" s="1">
        <v>2.52</v>
      </c>
      <c r="D26" s="8">
        <v>-2.9</v>
      </c>
      <c r="F26" s="4"/>
      <c r="G26" s="4"/>
    </row>
    <row r="27" spans="2:7" x14ac:dyDescent="0.2">
      <c r="B27" t="s">
        <v>19</v>
      </c>
      <c r="C27" s="1">
        <v>2.52</v>
      </c>
      <c r="D27" s="8">
        <v>-3.1</v>
      </c>
      <c r="F27" s="5"/>
      <c r="G27" s="5"/>
    </row>
    <row r="28" spans="2:7" x14ac:dyDescent="0.2">
      <c r="B28" t="s">
        <v>20</v>
      </c>
      <c r="C28" s="1">
        <v>2.72</v>
      </c>
      <c r="D28" s="8">
        <v>-2.9</v>
      </c>
      <c r="F28" s="4"/>
      <c r="G28" s="4"/>
    </row>
    <row r="29" spans="2:7" x14ac:dyDescent="0.2">
      <c r="B29" t="s">
        <v>21</v>
      </c>
      <c r="C29" s="1">
        <v>2.72</v>
      </c>
      <c r="D29" s="8">
        <v>-3.1</v>
      </c>
      <c r="F29" s="5"/>
      <c r="G29" s="5"/>
    </row>
    <row r="30" spans="2:7" x14ac:dyDescent="0.2">
      <c r="B30" t="s">
        <v>22</v>
      </c>
      <c r="C30" s="1">
        <v>4.18</v>
      </c>
      <c r="D30" s="8">
        <v>-2.9</v>
      </c>
      <c r="F30" s="4"/>
      <c r="G30" s="4"/>
    </row>
    <row r="31" spans="2:7" x14ac:dyDescent="0.2">
      <c r="B31" t="s">
        <v>23</v>
      </c>
      <c r="C31" s="1">
        <v>4.18</v>
      </c>
      <c r="D31" s="8">
        <v>-3.1</v>
      </c>
      <c r="F31" s="5"/>
      <c r="G31" s="5"/>
    </row>
    <row r="32" spans="2:7" x14ac:dyDescent="0.2">
      <c r="B32" t="s">
        <v>24</v>
      </c>
      <c r="C32" s="1">
        <v>4.38</v>
      </c>
      <c r="D32" s="8">
        <v>-2.9</v>
      </c>
      <c r="F32" s="4"/>
      <c r="G32" s="4"/>
    </row>
    <row r="33" spans="2:10" x14ac:dyDescent="0.2">
      <c r="B33" t="s">
        <v>25</v>
      </c>
      <c r="C33" s="1">
        <v>4.38</v>
      </c>
      <c r="D33" s="8">
        <v>-3.1</v>
      </c>
      <c r="F33" s="5"/>
      <c r="G33" s="5"/>
    </row>
    <row r="34" spans="2:10" x14ac:dyDescent="0.2">
      <c r="B34" t="s">
        <v>26</v>
      </c>
      <c r="C34" s="2" t="s">
        <v>34</v>
      </c>
      <c r="D34" s="2"/>
      <c r="F34" s="5" t="s">
        <v>39</v>
      </c>
      <c r="G34" s="4" t="s">
        <v>38</v>
      </c>
    </row>
    <row r="35" spans="2:10" x14ac:dyDescent="0.2">
      <c r="B35" t="s">
        <v>27</v>
      </c>
      <c r="C35" s="1">
        <v>2.65</v>
      </c>
      <c r="D35" s="1">
        <v>-2.5499999999999998</v>
      </c>
      <c r="F35" s="5">
        <f>+C35-F$21</f>
        <v>0.19999999999999973</v>
      </c>
      <c r="G35" s="5">
        <f>+D35-G$21</f>
        <v>-0.19999999999999973</v>
      </c>
    </row>
    <row r="36" spans="2:10" x14ac:dyDescent="0.2">
      <c r="B36" t="s">
        <v>28</v>
      </c>
      <c r="C36" s="1">
        <v>2.65</v>
      </c>
      <c r="D36" s="1">
        <v>-3.45</v>
      </c>
      <c r="F36" s="5">
        <f>+C36-F$21</f>
        <v>0.19999999999999973</v>
      </c>
      <c r="G36" s="5">
        <f>+D36-G$21</f>
        <v>-1.1000000000000001</v>
      </c>
    </row>
    <row r="37" spans="2:10" x14ac:dyDescent="0.2">
      <c r="B37" t="s">
        <v>29</v>
      </c>
      <c r="C37" s="1">
        <v>4.25</v>
      </c>
      <c r="D37" s="1">
        <v>-2.5499999999999998</v>
      </c>
      <c r="F37" s="5">
        <f>+C37-F$21</f>
        <v>1.7999999999999998</v>
      </c>
      <c r="G37" s="5">
        <f>+D37-G$21</f>
        <v>-0.19999999999999973</v>
      </c>
    </row>
    <row r="38" spans="2:10" x14ac:dyDescent="0.2">
      <c r="B38" t="s">
        <v>30</v>
      </c>
      <c r="C38" s="1">
        <v>4.25</v>
      </c>
      <c r="D38" s="1">
        <v>-3.45</v>
      </c>
      <c r="F38" s="5">
        <f>+C38-F$21</f>
        <v>1.7999999999999998</v>
      </c>
      <c r="G38" s="5">
        <f>+D38-G$21</f>
        <v>-1.1000000000000001</v>
      </c>
    </row>
    <row r="39" spans="2:10" x14ac:dyDescent="0.2">
      <c r="B39" t="s">
        <v>31</v>
      </c>
      <c r="C39" s="1"/>
      <c r="D39" s="1"/>
    </row>
    <row r="40" spans="2:10" x14ac:dyDescent="0.2">
      <c r="C40" s="1"/>
      <c r="D40" s="1"/>
    </row>
    <row r="41" spans="2:10" x14ac:dyDescent="0.2">
      <c r="F41" s="6" t="s">
        <v>45</v>
      </c>
      <c r="G41" s="6"/>
    </row>
    <row r="42" spans="2:10" x14ac:dyDescent="0.2">
      <c r="F42" s="1" t="s">
        <v>46</v>
      </c>
      <c r="G42" s="1" t="s">
        <v>46</v>
      </c>
    </row>
    <row r="43" spans="2:10" x14ac:dyDescent="0.2">
      <c r="B43" t="s">
        <v>40</v>
      </c>
      <c r="F43" s="1" t="s">
        <v>44</v>
      </c>
      <c r="G43" s="1" t="s">
        <v>48</v>
      </c>
      <c r="I43" s="4"/>
      <c r="J43" s="4"/>
    </row>
    <row r="44" spans="2:10" x14ac:dyDescent="0.2">
      <c r="B44" t="s">
        <v>41</v>
      </c>
      <c r="F44" s="1" t="s">
        <v>47</v>
      </c>
      <c r="G44" s="1" t="s">
        <v>49</v>
      </c>
      <c r="I44" s="4"/>
      <c r="J44" s="4"/>
    </row>
    <row r="45" spans="2:10" x14ac:dyDescent="0.2">
      <c r="B45" t="s">
        <v>42</v>
      </c>
      <c r="F45" s="1" t="s">
        <v>44</v>
      </c>
      <c r="G45" s="1" t="s">
        <v>47</v>
      </c>
      <c r="I45" s="4"/>
      <c r="J45" s="4"/>
    </row>
    <row r="46" spans="2:10" x14ac:dyDescent="0.2">
      <c r="B46" t="s">
        <v>43</v>
      </c>
      <c r="F46" s="1" t="s">
        <v>48</v>
      </c>
      <c r="G46" s="1" t="s">
        <v>49</v>
      </c>
      <c r="I46" s="4"/>
      <c r="J46" s="4"/>
    </row>
    <row r="48" spans="2:10" x14ac:dyDescent="0.2">
      <c r="B48" t="s">
        <v>50</v>
      </c>
    </row>
  </sheetData>
  <mergeCells count="2">
    <mergeCell ref="F19:G19"/>
    <mergeCell ref="F41:G4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</dc:creator>
  <cp:lastModifiedBy>Dick</cp:lastModifiedBy>
  <dcterms:created xsi:type="dcterms:W3CDTF">2026-09-10T17:01:43Z</dcterms:created>
  <dcterms:modified xsi:type="dcterms:W3CDTF">2026-09-10T18:35:12Z</dcterms:modified>
</cp:coreProperties>
</file>